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llm-bench-webclient\asserts\"/>
    </mc:Choice>
  </mc:AlternateContent>
  <xr:revisionPtr revIDLastSave="0" documentId="13_ncr:1_{45AE37BC-69FA-472E-A42B-13C5CC57DCD7}" xr6:coauthVersionLast="47" xr6:coauthVersionMax="47" xr10:uidLastSave="{00000000-0000-0000-0000-000000000000}"/>
  <bookViews>
    <workbookView xWindow="460" yWindow="760" windowWidth="21940" windowHeight="12420" xr2:uid="{00000000-000D-0000-FFFF-FFFF00000000}"/>
  </bookViews>
  <sheets>
    <sheet name="DeepSeek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4" l="1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" i="14"/>
</calcChain>
</file>

<file path=xl/sharedStrings.xml><?xml version="1.0" encoding="utf-8"?>
<sst xmlns="http://schemas.openxmlformats.org/spreadsheetml/2006/main" count="17" uniqueCount="17">
  <si>
    <t>GPU</t>
  </si>
  <si>
    <t>模型</t>
  </si>
  <si>
    <t>精度</t>
  </si>
  <si>
    <t>推理框架</t>
  </si>
  <si>
    <t>输入长度</t>
  </si>
  <si>
    <t>输出长度</t>
  </si>
  <si>
    <t>并发数</t>
  </si>
  <si>
    <t>Output
 (tok/s)</t>
  </si>
  <si>
    <t>Peak Output
(tok/s)</t>
  </si>
  <si>
    <t>Total
（tok/s）</t>
  </si>
  <si>
    <t>TTFT
（ms）</t>
  </si>
  <si>
    <t>ITL
（ms）</t>
  </si>
  <si>
    <t>TPOT
（ms）</t>
  </si>
  <si>
    <t>单用户
(tok/s)</t>
  </si>
  <si>
    <t>INT8
(W8A8)</t>
  </si>
  <si>
    <t>X201
vLLM v0.21
TP8</t>
    <phoneticPr fontId="4" type="noConversion"/>
  </si>
  <si>
    <t>DeepSeek-V4-Flash-0731
(≈300B)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</si>
</sst>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1" x14ac:knownFonts="1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9"/>
      <color theme="0"/>
      <name val="微软雅黑"/>
      <charset val="134"/>
    </font>
    <font>
      <sz val="9"/>
      <name val="微软雅黑"/>
      <charset val="134"/>
    </font>
    <font>
      <sz val="12"/>
      <color theme="1"/>
      <name val="宋体"/>
      <charset val="134"/>
      <scheme val="minor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0" borderId="0">
      <alignment vertical="center"/>
    </xf>
  </cellStyleXfs>
  <cellXfs count="21">
    <xf numFmtId="0" fontId="0" fillId="0" borderId="0" xfId="0"/>
    <xf numFmtId="0" fontId="1" fillId="0" borderId="0" xfId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176" fontId="6" fillId="0" borderId="0" xfId="1" applyNumberFormat="1" applyFont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176" fontId="6" fillId="0" borderId="1" xfId="1" applyNumberFormat="1" applyFont="1" applyBorder="1" applyAlignment="1">
      <alignment horizontal="center" vertical="center"/>
    </xf>
    <xf numFmtId="176" fontId="9" fillId="0" borderId="4" xfId="1" applyNumberFormat="1" applyFont="1" applyBorder="1" applyAlignment="1">
      <alignment horizontal="center" vertical="center"/>
    </xf>
    <xf numFmtId="176" fontId="9" fillId="0" borderId="1" xfId="1" applyNumberFormat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176" fontId="9" fillId="0" borderId="6" xfId="1" applyNumberFormat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N22"/>
  <sheetViews>
    <sheetView tabSelected="1" zoomScale="85" zoomScaleNormal="85" workbookViewId="0">
      <pane ySplit="1" topLeftCell="A2" activePane="bottomLeft" state="frozen"/>
      <selection pane="bottomLeft" activeCell="C31" sqref="C31"/>
    </sheetView>
  </sheetViews>
  <sheetFormatPr defaultColWidth="8.7265625" defaultRowHeight="12" x14ac:dyDescent="0.25"/>
  <cols>
    <col min="1" max="1" width="20.90625" style="2" customWidth="1"/>
    <col min="2" max="3" width="10.54296875" style="2" customWidth="1"/>
    <col min="4" max="4" width="12.26953125" style="2" customWidth="1"/>
    <col min="5" max="5" width="8.81640625" style="2" customWidth="1"/>
    <col min="6" max="6" width="9.1796875" style="2" customWidth="1"/>
    <col min="7" max="7" width="8.6328125" style="2" customWidth="1"/>
    <col min="8" max="8" width="13.08984375" style="3" customWidth="1"/>
    <col min="9" max="9" width="14.81640625" style="3" customWidth="1"/>
    <col min="10" max="10" width="12.54296875" style="3" customWidth="1"/>
    <col min="11" max="11" width="13" style="3" customWidth="1"/>
    <col min="12" max="12" width="13.7265625" style="3" customWidth="1"/>
    <col min="13" max="13" width="11" style="3" customWidth="1"/>
    <col min="14" max="14" width="14" style="3" customWidth="1"/>
    <col min="15" max="16384" width="8.7265625" style="2"/>
  </cols>
  <sheetData>
    <row r="1" spans="1:14" s="1" customFormat="1" ht="34" customHeight="1" x14ac:dyDescent="0.25">
      <c r="A1" s="4" t="s">
        <v>1</v>
      </c>
      <c r="B1" s="4" t="s">
        <v>2</v>
      </c>
      <c r="C1" s="4" t="s">
        <v>0</v>
      </c>
      <c r="D1" s="4" t="s">
        <v>3</v>
      </c>
      <c r="E1" s="5" t="s">
        <v>4</v>
      </c>
      <c r="F1" s="5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13" customHeight="1" x14ac:dyDescent="0.25">
      <c r="A2" s="19" t="s">
        <v>16</v>
      </c>
      <c r="B2" s="18" t="s">
        <v>14</v>
      </c>
      <c r="C2" s="17">
        <v>8</v>
      </c>
      <c r="D2" s="16" t="s">
        <v>15</v>
      </c>
      <c r="E2" s="20">
        <v>3072</v>
      </c>
      <c r="F2" s="20">
        <v>1024</v>
      </c>
      <c r="G2" s="6">
        <v>1</v>
      </c>
      <c r="H2" s="8">
        <v>34.58</v>
      </c>
      <c r="I2" s="8">
        <v>50</v>
      </c>
      <c r="J2" s="8">
        <v>138.46</v>
      </c>
      <c r="K2" s="8">
        <v>8019.66</v>
      </c>
      <c r="L2" s="8">
        <v>21.08</v>
      </c>
      <c r="M2" s="8">
        <v>21.11</v>
      </c>
      <c r="N2" s="10">
        <f>1000/M2</f>
        <v>47.370914258645193</v>
      </c>
    </row>
    <row r="3" spans="1:14" ht="13" x14ac:dyDescent="0.25">
      <c r="A3" s="19"/>
      <c r="B3" s="18"/>
      <c r="C3" s="17"/>
      <c r="D3" s="16"/>
      <c r="E3" s="20"/>
      <c r="F3" s="20"/>
      <c r="G3" s="7">
        <v>4</v>
      </c>
      <c r="H3" s="8">
        <v>150.61000000000001</v>
      </c>
      <c r="I3" s="8">
        <v>172</v>
      </c>
      <c r="J3" s="8">
        <v>603.03</v>
      </c>
      <c r="K3" s="8">
        <v>1817.41</v>
      </c>
      <c r="L3" s="8">
        <v>24.75</v>
      </c>
      <c r="M3" s="8">
        <v>24.77</v>
      </c>
      <c r="N3" s="10">
        <f t="shared" ref="N3:N22" si="0">1000/M3</f>
        <v>40.371417036737988</v>
      </c>
    </row>
    <row r="4" spans="1:14" ht="13" x14ac:dyDescent="0.25">
      <c r="A4" s="19"/>
      <c r="B4" s="18"/>
      <c r="C4" s="17"/>
      <c r="D4" s="16"/>
      <c r="E4" s="20"/>
      <c r="F4" s="20"/>
      <c r="G4" s="7">
        <v>8</v>
      </c>
      <c r="H4" s="8">
        <v>275.99</v>
      </c>
      <c r="I4" s="8">
        <v>304</v>
      </c>
      <c r="J4" s="8">
        <v>1105.05</v>
      </c>
      <c r="K4" s="8">
        <v>1126.4000000000001</v>
      </c>
      <c r="L4" s="8">
        <v>27.78</v>
      </c>
      <c r="M4" s="8">
        <v>27.81</v>
      </c>
      <c r="N4" s="10">
        <f t="shared" si="0"/>
        <v>35.958288385472855</v>
      </c>
    </row>
    <row r="5" spans="1:14" ht="13" x14ac:dyDescent="0.25">
      <c r="A5" s="19"/>
      <c r="B5" s="18"/>
      <c r="C5" s="17"/>
      <c r="D5" s="16"/>
      <c r="E5" s="20"/>
      <c r="F5" s="20"/>
      <c r="G5" s="7">
        <v>32</v>
      </c>
      <c r="H5" s="8">
        <v>568.42999999999995</v>
      </c>
      <c r="I5" s="8">
        <v>736</v>
      </c>
      <c r="J5" s="8">
        <v>2275.9499999999998</v>
      </c>
      <c r="K5" s="8">
        <v>5341.96</v>
      </c>
      <c r="L5" s="8">
        <v>50.35</v>
      </c>
      <c r="M5" s="8">
        <v>50.4</v>
      </c>
      <c r="N5" s="10">
        <f t="shared" si="0"/>
        <v>19.841269841269842</v>
      </c>
    </row>
    <row r="6" spans="1:14" ht="13" x14ac:dyDescent="0.25">
      <c r="A6" s="19"/>
      <c r="B6" s="18"/>
      <c r="C6" s="17"/>
      <c r="D6" s="16"/>
      <c r="E6" s="20"/>
      <c r="F6" s="20"/>
      <c r="G6" s="9">
        <v>40</v>
      </c>
      <c r="H6" s="8">
        <v>614.97</v>
      </c>
      <c r="I6" s="8">
        <v>880</v>
      </c>
      <c r="J6" s="8">
        <v>2462.2800000000002</v>
      </c>
      <c r="K6" s="8">
        <v>9793.4500000000007</v>
      </c>
      <c r="L6" s="8">
        <v>54.41</v>
      </c>
      <c r="M6" s="8">
        <v>54.46</v>
      </c>
      <c r="N6" s="10">
        <f t="shared" si="0"/>
        <v>18.36210062431142</v>
      </c>
    </row>
    <row r="7" spans="1:14" ht="13" x14ac:dyDescent="0.25">
      <c r="A7" s="19"/>
      <c r="B7" s="18"/>
      <c r="C7" s="17"/>
      <c r="D7" s="16"/>
      <c r="E7" s="20"/>
      <c r="F7" s="20"/>
      <c r="G7" s="7">
        <v>64</v>
      </c>
      <c r="H7" s="8">
        <v>785.35</v>
      </c>
      <c r="I7" s="8">
        <v>1280</v>
      </c>
      <c r="J7" s="8">
        <v>3144.46</v>
      </c>
      <c r="K7" s="8">
        <v>14919.02</v>
      </c>
      <c r="L7" s="8">
        <v>64.98</v>
      </c>
      <c r="M7" s="8">
        <v>65.040000000000006</v>
      </c>
      <c r="N7" s="10">
        <f t="shared" si="0"/>
        <v>15.375153751537514</v>
      </c>
    </row>
    <row r="8" spans="1:14" ht="13.5" x14ac:dyDescent="0.25">
      <c r="A8" s="19"/>
      <c r="B8" s="18"/>
      <c r="C8" s="17"/>
      <c r="D8" s="16"/>
      <c r="E8" s="20"/>
      <c r="F8" s="20"/>
      <c r="G8" s="13">
        <v>128</v>
      </c>
      <c r="H8" s="11">
        <v>1025.1300000000001</v>
      </c>
      <c r="I8" s="11">
        <v>1920</v>
      </c>
      <c r="J8" s="11">
        <v>4104.54</v>
      </c>
      <c r="K8" s="11">
        <v>29849.08</v>
      </c>
      <c r="L8" s="11">
        <v>91</v>
      </c>
      <c r="M8" s="14">
        <v>91.09</v>
      </c>
      <c r="N8" s="12">
        <f t="shared" si="0"/>
        <v>10.978153474585575</v>
      </c>
    </row>
    <row r="9" spans="1:14" ht="13" x14ac:dyDescent="0.25">
      <c r="A9" s="19"/>
      <c r="B9" s="18"/>
      <c r="C9" s="17"/>
      <c r="D9" s="16"/>
      <c r="E9" s="20">
        <v>1024</v>
      </c>
      <c r="F9" s="20">
        <v>1024</v>
      </c>
      <c r="G9" s="7">
        <v>1</v>
      </c>
      <c r="H9" s="8">
        <v>49.72</v>
      </c>
      <c r="I9" s="8">
        <v>51</v>
      </c>
      <c r="J9" s="8">
        <v>99.63</v>
      </c>
      <c r="K9" s="8">
        <v>204.72</v>
      </c>
      <c r="L9" s="8">
        <v>19.91</v>
      </c>
      <c r="M9" s="8">
        <v>19.93</v>
      </c>
      <c r="N9" s="10">
        <f t="shared" si="0"/>
        <v>50.175614651279481</v>
      </c>
    </row>
    <row r="10" spans="1:14" ht="13" x14ac:dyDescent="0.25">
      <c r="A10" s="19"/>
      <c r="B10" s="18"/>
      <c r="C10" s="17"/>
      <c r="D10" s="16"/>
      <c r="E10" s="20"/>
      <c r="F10" s="20"/>
      <c r="G10" s="7">
        <v>4</v>
      </c>
      <c r="H10" s="8">
        <v>166.95</v>
      </c>
      <c r="I10" s="8">
        <v>172</v>
      </c>
      <c r="J10" s="8">
        <v>334.55</v>
      </c>
      <c r="K10" s="8">
        <v>395.33</v>
      </c>
      <c r="L10" s="8">
        <v>23.56</v>
      </c>
      <c r="M10" s="8">
        <v>23.58</v>
      </c>
      <c r="N10" s="10">
        <f t="shared" si="0"/>
        <v>42.408821034775237</v>
      </c>
    </row>
    <row r="11" spans="1:14" ht="13" x14ac:dyDescent="0.25">
      <c r="A11" s="19"/>
      <c r="B11" s="18"/>
      <c r="C11" s="17"/>
      <c r="D11" s="16"/>
      <c r="E11" s="20"/>
      <c r="F11" s="20"/>
      <c r="G11" s="7">
        <v>8</v>
      </c>
      <c r="H11" s="8">
        <v>292.47000000000003</v>
      </c>
      <c r="I11" s="8">
        <v>312</v>
      </c>
      <c r="J11" s="8">
        <v>586.09</v>
      </c>
      <c r="K11" s="8">
        <v>523.32000000000005</v>
      </c>
      <c r="L11" s="8">
        <v>26.81</v>
      </c>
      <c r="M11" s="8">
        <v>26.83</v>
      </c>
      <c r="N11" s="10">
        <f t="shared" si="0"/>
        <v>37.271710771524418</v>
      </c>
    </row>
    <row r="12" spans="1:14" ht="13" x14ac:dyDescent="0.25">
      <c r="A12" s="19"/>
      <c r="B12" s="18"/>
      <c r="C12" s="17"/>
      <c r="D12" s="16"/>
      <c r="E12" s="20"/>
      <c r="F12" s="20"/>
      <c r="G12" s="7">
        <v>32</v>
      </c>
      <c r="H12" s="8">
        <v>679.68</v>
      </c>
      <c r="I12" s="8">
        <v>768</v>
      </c>
      <c r="J12" s="8">
        <v>1362.02</v>
      </c>
      <c r="K12" s="8">
        <v>1653.58</v>
      </c>
      <c r="L12" s="8">
        <v>45.22</v>
      </c>
      <c r="M12" s="8">
        <v>45.27</v>
      </c>
      <c r="N12" s="10">
        <f t="shared" si="0"/>
        <v>22.08968411751712</v>
      </c>
    </row>
    <row r="13" spans="1:14" ht="13" x14ac:dyDescent="0.25">
      <c r="A13" s="19"/>
      <c r="B13" s="18"/>
      <c r="C13" s="17"/>
      <c r="D13" s="16"/>
      <c r="E13" s="20"/>
      <c r="F13" s="20"/>
      <c r="G13" s="9">
        <v>40</v>
      </c>
      <c r="H13" s="8">
        <v>790.79</v>
      </c>
      <c r="I13" s="8">
        <v>960</v>
      </c>
      <c r="J13" s="8">
        <v>1584.66</v>
      </c>
      <c r="K13" s="8">
        <v>3129.45</v>
      </c>
      <c r="L13" s="8">
        <v>47.18</v>
      </c>
      <c r="M13" s="8">
        <v>47.23</v>
      </c>
      <c r="N13" s="10">
        <f t="shared" si="0"/>
        <v>21.172983273343217</v>
      </c>
    </row>
    <row r="14" spans="1:14" ht="13" x14ac:dyDescent="0.25">
      <c r="A14" s="19"/>
      <c r="B14" s="18"/>
      <c r="C14" s="17"/>
      <c r="D14" s="16"/>
      <c r="E14" s="20"/>
      <c r="F14" s="20"/>
      <c r="G14" s="7">
        <v>64</v>
      </c>
      <c r="H14" s="8">
        <v>1076.4000000000001</v>
      </c>
      <c r="I14" s="8">
        <v>1344</v>
      </c>
      <c r="J14" s="8">
        <v>2157</v>
      </c>
      <c r="K14" s="8">
        <v>4862.3999999999996</v>
      </c>
      <c r="L14" s="8">
        <v>54.05</v>
      </c>
      <c r="M14" s="8">
        <v>54.1</v>
      </c>
      <c r="N14" s="10">
        <f t="shared" si="0"/>
        <v>18.484288354898336</v>
      </c>
    </row>
    <row r="15" spans="1:14" ht="13.5" x14ac:dyDescent="0.25">
      <c r="A15" s="19"/>
      <c r="B15" s="18"/>
      <c r="C15" s="17"/>
      <c r="D15" s="16"/>
      <c r="E15" s="20"/>
      <c r="F15" s="20"/>
      <c r="G15" s="13">
        <v>128</v>
      </c>
      <c r="H15" s="11">
        <v>1530.73</v>
      </c>
      <c r="I15" s="11">
        <v>2130</v>
      </c>
      <c r="J15" s="11">
        <v>3067.43</v>
      </c>
      <c r="K15" s="11">
        <v>9490.06</v>
      </c>
      <c r="L15" s="11">
        <v>72.739999999999995</v>
      </c>
      <c r="M15" s="14">
        <v>72.81</v>
      </c>
      <c r="N15" s="12">
        <f t="shared" si="0"/>
        <v>13.734377145996429</v>
      </c>
    </row>
    <row r="16" spans="1:14" ht="13" x14ac:dyDescent="0.25">
      <c r="A16" s="19"/>
      <c r="B16" s="18"/>
      <c r="C16" s="17"/>
      <c r="D16" s="16"/>
      <c r="E16" s="20">
        <v>256</v>
      </c>
      <c r="F16" s="20">
        <v>256</v>
      </c>
      <c r="G16" s="7">
        <v>1</v>
      </c>
      <c r="H16" s="8">
        <v>50.05</v>
      </c>
      <c r="I16" s="8">
        <v>52</v>
      </c>
      <c r="J16" s="8">
        <v>100.89</v>
      </c>
      <c r="K16" s="8">
        <v>108.27</v>
      </c>
      <c r="L16" s="8">
        <v>19.55</v>
      </c>
      <c r="M16" s="8">
        <v>19.63</v>
      </c>
      <c r="N16" s="10">
        <f t="shared" si="0"/>
        <v>50.942435048395318</v>
      </c>
    </row>
    <row r="17" spans="1:14" ht="13" x14ac:dyDescent="0.25">
      <c r="A17" s="19"/>
      <c r="B17" s="18"/>
      <c r="C17" s="17"/>
      <c r="D17" s="16"/>
      <c r="E17" s="20"/>
      <c r="F17" s="20"/>
      <c r="G17" s="7">
        <v>4</v>
      </c>
      <c r="H17" s="8">
        <v>167.12</v>
      </c>
      <c r="I17" s="8">
        <v>176</v>
      </c>
      <c r="J17" s="8">
        <v>336.85</v>
      </c>
      <c r="K17" s="8">
        <v>235.32</v>
      </c>
      <c r="L17" s="8">
        <v>22.99</v>
      </c>
      <c r="M17" s="8">
        <v>23.08</v>
      </c>
      <c r="N17" s="10">
        <f t="shared" si="0"/>
        <v>43.327556325823224</v>
      </c>
    </row>
    <row r="18" spans="1:14" ht="13" x14ac:dyDescent="0.25">
      <c r="A18" s="19"/>
      <c r="B18" s="18"/>
      <c r="C18" s="17"/>
      <c r="D18" s="16"/>
      <c r="E18" s="20"/>
      <c r="F18" s="20"/>
      <c r="G18" s="7">
        <v>8</v>
      </c>
      <c r="H18" s="8">
        <v>300.20999999999998</v>
      </c>
      <c r="I18" s="8">
        <v>320</v>
      </c>
      <c r="J18" s="8">
        <v>605.1</v>
      </c>
      <c r="K18" s="8">
        <v>262.04000000000002</v>
      </c>
      <c r="L18" s="8">
        <v>25.61</v>
      </c>
      <c r="M18" s="8">
        <v>25.71</v>
      </c>
      <c r="N18" s="10">
        <f t="shared" si="0"/>
        <v>38.895371450797356</v>
      </c>
    </row>
    <row r="19" spans="1:14" ht="13" x14ac:dyDescent="0.25">
      <c r="A19" s="19"/>
      <c r="B19" s="18"/>
      <c r="C19" s="17"/>
      <c r="D19" s="16"/>
      <c r="E19" s="20"/>
      <c r="F19" s="20"/>
      <c r="G19" s="7">
        <v>32</v>
      </c>
      <c r="H19" s="8">
        <v>673.72</v>
      </c>
      <c r="I19" s="8">
        <v>768</v>
      </c>
      <c r="J19" s="8">
        <v>1357.96</v>
      </c>
      <c r="K19" s="8">
        <v>824.61</v>
      </c>
      <c r="L19" s="8">
        <v>44.04</v>
      </c>
      <c r="M19" s="8">
        <v>44.21</v>
      </c>
      <c r="N19" s="10">
        <f t="shared" si="0"/>
        <v>22.619316896629723</v>
      </c>
    </row>
    <row r="20" spans="1:14" ht="13" x14ac:dyDescent="0.25">
      <c r="A20" s="19"/>
      <c r="B20" s="18"/>
      <c r="C20" s="17"/>
      <c r="D20" s="16"/>
      <c r="E20" s="20"/>
      <c r="F20" s="20"/>
      <c r="G20" s="9">
        <v>40</v>
      </c>
      <c r="H20" s="8">
        <v>868.49</v>
      </c>
      <c r="I20" s="8">
        <v>960</v>
      </c>
      <c r="J20" s="8">
        <v>1750.54</v>
      </c>
      <c r="K20" s="8">
        <v>588.45000000000005</v>
      </c>
      <c r="L20" s="8">
        <v>43.68</v>
      </c>
      <c r="M20" s="8">
        <v>43.85</v>
      </c>
      <c r="N20" s="10">
        <f t="shared" si="0"/>
        <v>22.805017103762825</v>
      </c>
    </row>
    <row r="21" spans="1:14" ht="13" x14ac:dyDescent="0.25">
      <c r="A21" s="19"/>
      <c r="B21" s="18"/>
      <c r="C21" s="17"/>
      <c r="D21" s="16"/>
      <c r="E21" s="20"/>
      <c r="F21" s="20"/>
      <c r="G21" s="7">
        <v>64</v>
      </c>
      <c r="H21" s="8">
        <v>1188.3</v>
      </c>
      <c r="I21" s="8">
        <v>1408</v>
      </c>
      <c r="J21" s="8">
        <v>2395.16</v>
      </c>
      <c r="K21" s="8">
        <v>631.80999999999995</v>
      </c>
      <c r="L21" s="8">
        <v>51.09</v>
      </c>
      <c r="M21" s="8">
        <v>51.29</v>
      </c>
      <c r="N21" s="10">
        <f t="shared" si="0"/>
        <v>19.496977968414896</v>
      </c>
    </row>
    <row r="22" spans="1:14" ht="13.5" x14ac:dyDescent="0.25">
      <c r="A22" s="19"/>
      <c r="B22" s="18"/>
      <c r="C22" s="17"/>
      <c r="D22" s="16"/>
      <c r="E22" s="20"/>
      <c r="F22" s="20"/>
      <c r="G22" s="15">
        <v>128</v>
      </c>
      <c r="H22" s="11">
        <v>1575.28</v>
      </c>
      <c r="I22" s="11">
        <v>2176</v>
      </c>
      <c r="J22" s="11">
        <v>3175.17</v>
      </c>
      <c r="K22" s="11">
        <v>2882.42</v>
      </c>
      <c r="L22" s="11">
        <v>68.39</v>
      </c>
      <c r="M22" s="14">
        <v>68.66</v>
      </c>
      <c r="N22" s="12">
        <f t="shared" si="0"/>
        <v>14.564520827264785</v>
      </c>
    </row>
  </sheetData>
  <mergeCells count="10">
    <mergeCell ref="E2:E8"/>
    <mergeCell ref="D2:D22"/>
    <mergeCell ref="C2:C22"/>
    <mergeCell ref="B2:B22"/>
    <mergeCell ref="A2:A22"/>
    <mergeCell ref="F2:F8"/>
    <mergeCell ref="E9:E15"/>
    <mergeCell ref="F9:F15"/>
    <mergeCell ref="E16:E22"/>
    <mergeCell ref="F16:F2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DeepSeek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mz Yuan</cp:lastModifiedBy>
  <dcterms:created xsi:type="dcterms:W3CDTF">2025-07-12T20:36:00Z</dcterms:created>
  <dcterms:modified xsi:type="dcterms:W3CDTF">2026-08-21T05:41:19Z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6AFA355497704B78AE3A8B8EC58CC75E_12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